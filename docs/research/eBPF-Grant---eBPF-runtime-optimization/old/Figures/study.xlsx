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risk/Desktop/"/>
    </mc:Choice>
  </mc:AlternateContent>
  <xr:revisionPtr revIDLastSave="0" documentId="8_{066E6871-D1C5-F246-9E54-A9A71EB39230}" xr6:coauthVersionLast="36" xr6:coauthVersionMax="36" xr10:uidLastSave="{00000000-0000-0000-0000-000000000000}"/>
  <bookViews>
    <workbookView xWindow="63180" yWindow="13920" windowWidth="27640" windowHeight="16940" xr2:uid="{2AD8CF3F-D862-774F-9198-B69AFC320D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M6" i="1"/>
  <c r="C10" i="1"/>
  <c r="L10" i="1" l="1"/>
</calcChain>
</file>

<file path=xl/sharedStrings.xml><?xml version="1.0" encoding="utf-8"?>
<sst xmlns="http://schemas.openxmlformats.org/spreadsheetml/2006/main" count="33" uniqueCount="23">
  <si>
    <t>REPT</t>
  </si>
  <si>
    <t>ESD</t>
  </si>
  <si>
    <t>Arnold</t>
  </si>
  <si>
    <t>Sequential</t>
  </si>
  <si>
    <t>Concurrency</t>
  </si>
  <si>
    <t>Atomicity Violations</t>
  </si>
  <si>
    <t>Data Races</t>
  </si>
  <si>
    <t>Deadlocks</t>
  </si>
  <si>
    <t>6%-3400% (68%)</t>
  </si>
  <si>
    <t>1%-3% (2.7%)</t>
  </si>
  <si>
    <t>3%-4800% (105%)</t>
  </si>
  <si>
    <t>PinPlay (PRES)</t>
  </si>
  <si>
    <t>Effectiveness</t>
  </si>
  <si>
    <t>Total                 (per category)</t>
  </si>
  <si>
    <t>Order Violations</t>
  </si>
  <si>
    <t>Accuracy</t>
  </si>
  <si>
    <t>Invasiveness</t>
  </si>
  <si>
    <t>Invasive</t>
  </si>
  <si>
    <t>Non-invasive</t>
  </si>
  <si>
    <t>Total  (across all categories)</t>
  </si>
  <si>
    <r>
      <t xml:space="preserve">Runtime Overhead       </t>
    </r>
    <r>
      <rPr>
        <sz val="12"/>
        <color theme="1"/>
        <rFont val="Calibri"/>
        <family val="2"/>
        <scheme val="minor"/>
      </rPr>
      <t>[Min-Max (Average)]</t>
    </r>
  </si>
  <si>
    <t>L</t>
  </si>
  <si>
    <t>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</si>
</sst>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Border="1" applyAlignment="1">
      <alignment horizontal="center"/>
    </xf>
    <xf numFmtId="9" fontId="0" fillId="0" borderId="1" xfId="0" applyNumberFormat="1" applyBorder="1"/>
    <xf numFmtId="0" fontId="0" fillId="0" borderId="1" xfId="0" applyFont="1" applyFill="1" applyBorder="1"/>
    <xf numFmtId="0" fontId="0" fillId="0" borderId="1" xfId="0" applyBorder="1" applyAlignment="1">
      <alignment horizontal="right"/>
    </xf>
    <xf numFmtId="0" fontId="0" fillId="0" borderId="1" xfId="0" applyFont="1" applyFill="1" applyBorder="1" applyAlignment="1">
      <alignment horizontal="right"/>
    </xf>
    <xf numFmtId="0" fontId="0" fillId="0" borderId="1" xfId="0" applyFont="1" applyBorder="1" applyAlignment="1">
      <alignment horizontal="right"/>
    </xf>
    <xf numFmtId="9" fontId="0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4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ECFAB-FC5B-DA4D-99CD-05D6EA23D8C3}">
  <sheetPr>
    <pageSetUpPr fitToPage="1"/>
  </sheetPr>
  <dimension ref="A1:O12"/>
  <sheetViews>
    <sheetView tabSelected="1" zoomScale="168" workbookViewId="0">
      <selection sqref="A1:A3"/>
    </sheetView>
  </sheetViews>
  <sheetFormatPr baseColWidth="10" defaultRowHeight="16" x14ac:dyDescent="0.2"/>
  <cols>
    <col min="1" max="1" width="12.6640625" customWidth="1"/>
    <col min="2" max="3" width="5" customWidth="1"/>
    <col min="4" max="4" width="5.6640625" customWidth="1"/>
    <col min="5" max="5" width="5.5" customWidth="1"/>
    <col min="6" max="6" width="7" customWidth="1"/>
    <col min="7" max="7" width="7.83203125" customWidth="1"/>
    <col min="8" max="8" width="6.33203125" bestFit="1" customWidth="1"/>
    <col min="9" max="9" width="5.33203125" customWidth="1"/>
    <col min="10" max="10" width="3.1640625" bestFit="1" customWidth="1"/>
    <col min="11" max="11" width="6.1640625" customWidth="1"/>
    <col min="12" max="12" width="17.83203125" style="5" customWidth="1"/>
    <col min="13" max="13" width="11.5" customWidth="1"/>
    <col min="14" max="14" width="8.5" bestFit="1" customWidth="1"/>
    <col min="15" max="15" width="11.6640625" bestFit="1" customWidth="1"/>
  </cols>
  <sheetData>
    <row r="1" spans="1:15" ht="16" customHeight="1" x14ac:dyDescent="0.2">
      <c r="A1" s="33"/>
      <c r="B1" s="29" t="s">
        <v>3</v>
      </c>
      <c r="C1" s="29"/>
      <c r="D1" s="29" t="s">
        <v>4</v>
      </c>
      <c r="E1" s="29"/>
      <c r="F1" s="29"/>
      <c r="G1" s="29"/>
      <c r="H1" s="29"/>
      <c r="I1" s="29"/>
      <c r="J1" s="29"/>
      <c r="K1" s="29"/>
      <c r="L1" s="26" t="s">
        <v>20</v>
      </c>
      <c r="M1" s="15" t="s">
        <v>12</v>
      </c>
      <c r="N1" s="20" t="s">
        <v>15</v>
      </c>
      <c r="O1" s="20" t="s">
        <v>16</v>
      </c>
    </row>
    <row r="2" spans="1:15" ht="30" customHeight="1" x14ac:dyDescent="0.2">
      <c r="A2" s="33"/>
      <c r="B2" s="24" t="s">
        <v>21</v>
      </c>
      <c r="C2" s="24" t="s">
        <v>22</v>
      </c>
      <c r="D2" s="30" t="s">
        <v>6</v>
      </c>
      <c r="E2" s="30"/>
      <c r="F2" s="16" t="s">
        <v>14</v>
      </c>
      <c r="G2" s="17"/>
      <c r="H2" s="31" t="s">
        <v>5</v>
      </c>
      <c r="I2" s="31"/>
      <c r="J2" s="30" t="s">
        <v>7</v>
      </c>
      <c r="K2" s="30"/>
      <c r="L2" s="27"/>
      <c r="M2" s="15"/>
      <c r="N2" s="20"/>
      <c r="O2" s="20"/>
    </row>
    <row r="3" spans="1:15" x14ac:dyDescent="0.2">
      <c r="A3" s="34"/>
      <c r="B3" s="25"/>
      <c r="C3" s="25"/>
      <c r="D3" s="3" t="s">
        <v>21</v>
      </c>
      <c r="E3" s="2" t="s">
        <v>22</v>
      </c>
      <c r="F3" s="2" t="s">
        <v>21</v>
      </c>
      <c r="G3" s="2" t="s">
        <v>22</v>
      </c>
      <c r="H3" s="2" t="s">
        <v>21</v>
      </c>
      <c r="I3" s="2" t="s">
        <v>22</v>
      </c>
      <c r="J3" s="2" t="s">
        <v>21</v>
      </c>
      <c r="K3" s="2" t="s">
        <v>22</v>
      </c>
      <c r="L3" s="28"/>
      <c r="M3" s="15"/>
      <c r="N3" s="20"/>
      <c r="O3" s="20"/>
    </row>
    <row r="4" spans="1:15" x14ac:dyDescent="0.2">
      <c r="A4" s="1" t="s">
        <v>2</v>
      </c>
      <c r="B4" s="11">
        <v>105</v>
      </c>
      <c r="C4" s="11">
        <v>159</v>
      </c>
      <c r="D4" s="11">
        <v>5</v>
      </c>
      <c r="E4" s="11">
        <v>45</v>
      </c>
      <c r="F4" s="11">
        <v>9</v>
      </c>
      <c r="G4" s="11">
        <v>13</v>
      </c>
      <c r="H4" s="11">
        <v>30</v>
      </c>
      <c r="I4" s="11">
        <v>34</v>
      </c>
      <c r="J4" s="11">
        <v>22</v>
      </c>
      <c r="K4" s="11">
        <v>88</v>
      </c>
      <c r="L4" s="13" t="s">
        <v>8</v>
      </c>
      <c r="M4" s="9">
        <v>1</v>
      </c>
      <c r="N4" s="9">
        <v>1</v>
      </c>
      <c r="O4" s="1" t="s">
        <v>17</v>
      </c>
    </row>
    <row r="5" spans="1:15" x14ac:dyDescent="0.2">
      <c r="A5" s="1" t="s">
        <v>11</v>
      </c>
      <c r="B5" s="11">
        <v>105</v>
      </c>
      <c r="C5" s="11">
        <v>159</v>
      </c>
      <c r="D5" s="11">
        <v>5</v>
      </c>
      <c r="E5" s="11">
        <v>45</v>
      </c>
      <c r="F5" s="11">
        <v>9</v>
      </c>
      <c r="G5" s="11">
        <v>13</v>
      </c>
      <c r="H5" s="11">
        <v>30</v>
      </c>
      <c r="I5" s="11">
        <v>34</v>
      </c>
      <c r="J5" s="11">
        <v>22</v>
      </c>
      <c r="K5" s="11">
        <v>88</v>
      </c>
      <c r="L5" s="13" t="s">
        <v>10</v>
      </c>
      <c r="M5" s="9">
        <v>1</v>
      </c>
      <c r="N5" s="9">
        <v>1</v>
      </c>
      <c r="O5" s="1" t="s">
        <v>17</v>
      </c>
    </row>
    <row r="6" spans="1:15" x14ac:dyDescent="0.2">
      <c r="A6" s="1" t="s">
        <v>1</v>
      </c>
      <c r="B6" s="11">
        <v>5</v>
      </c>
      <c r="C6" s="11">
        <v>14</v>
      </c>
      <c r="D6" s="11">
        <v>0</v>
      </c>
      <c r="E6" s="11">
        <v>0</v>
      </c>
      <c r="F6" s="11">
        <v>1</v>
      </c>
      <c r="G6" s="11">
        <v>2</v>
      </c>
      <c r="H6" s="11">
        <v>4</v>
      </c>
      <c r="I6" s="11">
        <v>3</v>
      </c>
      <c r="J6" s="11">
        <v>5</v>
      </c>
      <c r="K6" s="11">
        <v>24</v>
      </c>
      <c r="L6" s="14">
        <v>0</v>
      </c>
      <c r="M6" s="9">
        <f>SUM(B6:K6)/510</f>
        <v>0.11372549019607843</v>
      </c>
      <c r="N6" s="9">
        <v>1</v>
      </c>
      <c r="O6" s="1" t="s">
        <v>18</v>
      </c>
    </row>
    <row r="7" spans="1:15" x14ac:dyDescent="0.2">
      <c r="A7" s="10" t="s">
        <v>0</v>
      </c>
      <c r="B7" s="12">
        <v>0</v>
      </c>
      <c r="C7" s="12">
        <v>78</v>
      </c>
      <c r="D7" s="12">
        <v>0</v>
      </c>
      <c r="E7" s="12">
        <v>13</v>
      </c>
      <c r="F7" s="12">
        <v>0</v>
      </c>
      <c r="G7" s="12">
        <v>7</v>
      </c>
      <c r="H7" s="12">
        <v>0</v>
      </c>
      <c r="I7" s="12">
        <v>31</v>
      </c>
      <c r="J7" s="12">
        <v>0</v>
      </c>
      <c r="K7" s="12">
        <v>7</v>
      </c>
      <c r="L7" s="12" t="s">
        <v>9</v>
      </c>
      <c r="M7" s="9">
        <f>SUM(B7:K7)/510</f>
        <v>0.26666666666666666</v>
      </c>
      <c r="N7" s="9">
        <v>0.9</v>
      </c>
      <c r="O7" s="1" t="s">
        <v>18</v>
      </c>
    </row>
    <row r="8" spans="1:15" ht="4" customHeight="1" x14ac:dyDescent="0.2">
      <c r="A8" s="21"/>
      <c r="B8" s="23"/>
      <c r="C8" s="18"/>
      <c r="D8" s="19"/>
      <c r="E8" s="23"/>
      <c r="F8" s="18"/>
      <c r="G8" s="19"/>
      <c r="H8" s="23"/>
      <c r="I8" s="18"/>
      <c r="J8" s="19"/>
      <c r="K8" s="23"/>
      <c r="L8" s="8"/>
    </row>
    <row r="9" spans="1:15" ht="33" customHeight="1" x14ac:dyDescent="0.2">
      <c r="A9" s="22"/>
      <c r="B9" s="23"/>
      <c r="C9" s="18"/>
      <c r="D9" s="19"/>
      <c r="E9" s="23"/>
      <c r="F9" s="18"/>
      <c r="G9" s="19"/>
      <c r="H9" s="23"/>
      <c r="I9" s="18"/>
      <c r="J9" s="19"/>
      <c r="K9" s="19"/>
      <c r="L9" s="7" t="s">
        <v>19</v>
      </c>
    </row>
    <row r="10" spans="1:15" ht="31" customHeight="1" x14ac:dyDescent="0.2">
      <c r="A10" s="7" t="s">
        <v>13</v>
      </c>
      <c r="B10" s="1">
        <v>105</v>
      </c>
      <c r="C10" s="1">
        <f>264-B10</f>
        <v>159</v>
      </c>
      <c r="D10" s="2">
        <v>5</v>
      </c>
      <c r="E10" s="1">
        <v>45</v>
      </c>
      <c r="F10" s="1">
        <v>9</v>
      </c>
      <c r="G10" s="1">
        <v>13</v>
      </c>
      <c r="H10" s="2">
        <v>30</v>
      </c>
      <c r="I10" s="1">
        <v>34</v>
      </c>
      <c r="J10" s="2">
        <v>22</v>
      </c>
      <c r="K10" s="32">
        <v>88</v>
      </c>
      <c r="L10" s="4">
        <f>SUM(B10:K10)</f>
        <v>510</v>
      </c>
    </row>
    <row r="12" spans="1:15" x14ac:dyDescent="0.2">
      <c r="L12" s="6"/>
    </row>
  </sheetData>
  <mergeCells count="24">
    <mergeCell ref="A1:A3"/>
    <mergeCell ref="O1:O3"/>
    <mergeCell ref="A8:A9"/>
    <mergeCell ref="I8:I9"/>
    <mergeCell ref="J8:J9"/>
    <mergeCell ref="K8:K9"/>
    <mergeCell ref="B2:B3"/>
    <mergeCell ref="C2:C3"/>
    <mergeCell ref="L1:L3"/>
    <mergeCell ref="B8:B9"/>
    <mergeCell ref="C8:C9"/>
    <mergeCell ref="D8:D9"/>
    <mergeCell ref="E8:E9"/>
    <mergeCell ref="H8:H9"/>
    <mergeCell ref="B1:C1"/>
    <mergeCell ref="D1:K1"/>
    <mergeCell ref="D2:E2"/>
    <mergeCell ref="M1:M3"/>
    <mergeCell ref="F2:G2"/>
    <mergeCell ref="F8:F9"/>
    <mergeCell ref="G8:G9"/>
    <mergeCell ref="N1:N3"/>
    <mergeCell ref="H2:I2"/>
    <mergeCell ref="J2:K2"/>
  </mergeCells>
  <pageMargins left="0.25" right="0.25" top="0.75" bottom="0.75" header="0.3" footer="0.3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Baris Kasikci</dc:creator>
  <cp:lastModifiedBy>Baris Kasikci</cp:lastModifiedBy>
  <cp:lastPrinted>2019-07-10T18:17:23Z</cp:lastPrinted>
  <dcterms:created xsi:type="dcterms:W3CDTF">2019-06-23T17:22:29Z</dcterms:created>
  <dcterms:modified xsi:type="dcterms:W3CDTF">2019-07-16T03:17:38Z</dcterms:modified>
</cp:coreProperties>
</file>